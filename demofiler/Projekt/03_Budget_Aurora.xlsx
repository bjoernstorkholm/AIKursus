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28dbb948444f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0043e5dee78d4557"/>
    <x:sheet xmlns:r="http://schemas.openxmlformats.org/officeDocument/2006/relationships" name="Forudsaetninger" sheetId="2" r:id="Rbc5c27d18c6347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 &quot;mio. kr.&quot;"/>
    <x:numFmt numFmtId="201" formatCode="0.00"/>
    <x:numFmt numFmtId="202" formatCode="dd-mm-yyyy"/>
  </x:numFmts>
  <x:fonts count="10">
    <x:font>
      <x:sz val="11"/>
      <x:name val="Carlito"/>
    </x:font>
    <x:font>
      <x:b/>
      <x:sz val="19"/>
      <x:color rgb="FFFFFFFF"/>
      <x:name val="Aptos Display"/>
    </x:font>
    <x:font>
      <x:i/>
      <x:sz val="10"/>
      <x:color rgb="FF4A5560"/>
      <x:name val="Aptos"/>
    </x:font>
    <x:font>
      <x:b/>
      <x:sz val="10"/>
      <x:color rgb="FFFFFFFF"/>
      <x:name val="Aptos"/>
    </x:font>
    <x:font>
      <x:sz val="10"/>
      <x:color rgb="FF17212B"/>
      <x:name val="Aptos"/>
    </x:font>
    <x:font>
      <x:b/>
      <x:sz val="11"/>
      <x:color rgb="FF17212B"/>
      <x:name val="Aptos"/>
    </x:font>
    <x:font>
      <x:b/>
      <x:sz val="9"/>
      <x:color rgb="FF6B4B00"/>
      <x:name val="Aptos"/>
    </x:font>
    <x:font>
      <x:b/>
      <x:sz val="12"/>
      <x:color rgb="FF17212B"/>
      <x:name val="Aptos"/>
    </x:font>
    <x:font>
      <x:sz val="8"/>
      <x:color rgb="FF4A5560"/>
      <x:name val="Aptos"/>
    </x:font>
    <x:font>
      <x:b/>
      <x:sz val="18"/>
      <x:color rgb="FFFFFFFF"/>
      <x:name val="Aptos Display"/>
    </x:font>
  </x:fonts>
  <x:fills count="8">
    <x:fill>
      <x:patternFill patternType="none"/>
    </x:fill>
    <x:fill>
      <x:patternFill patternType="gray125"/>
    </x:fill>
    <x:fill>
      <x:patternFill patternType="solid">
        <x:fgColor rgb="FF005EA8"/>
      </x:patternFill>
    </x:fill>
    <x:fill>
      <x:patternFill patternType="solid">
        <x:fgColor rgb="FFF2F4F5"/>
      </x:patternFill>
    </x:fill>
    <x:fill>
      <x:patternFill patternType="solid">
        <x:fgColor rgb="FF006E75"/>
      </x:patternFill>
    </x:fill>
    <x:fill>
      <x:patternFill patternType="solid">
        <x:fgColor rgb="FFF7F8F9"/>
      </x:patternFill>
    </x:fill>
    <x:fill>
      <x:patternFill patternType="solid">
        <x:fgColor rgb="FFFFF4CC"/>
      </x:patternFill>
    </x:fill>
    <x:fill>
      <x:patternFill patternType="solid">
        <x:fgColor rgb="FFFFFAE8"/>
      </x:patternFill>
    </x:fill>
  </x:fills>
  <x:borders count="11">
    <x:border/>
    <x:border>
      <x:left style="thin">
        <x:color rgb="FFCBD2D8"/>
      </x:left>
      <x:right style="thin">
        <x:color rgb="FFCBD2D8"/>
      </x:right>
      <x:top style="thin">
        <x:color rgb="FFCBD2D8"/>
      </x:top>
      <x:bottom style="thin">
        <x:color rgb="FFCBD2D8"/>
      </x:bottom>
    </x:border>
    <x:border>
      <x:bottom style="double">
        <x:color rgb="FF005EA8"/>
      </x:bottom>
    </x:border>
    <x:border>
      <x:left style="thin">
        <x:color rgb="FFE3B341"/>
      </x:left>
      <x:top style="thin">
        <x:color rgb="FFE3B341"/>
      </x:top>
    </x:border>
    <x:border>
      <x:top style="thin">
        <x:color rgb="FFE3B341"/>
      </x:top>
    </x:border>
    <x:border>
      <x:right style="thin">
        <x:color rgb="FFE3B341"/>
      </x:right>
      <x:top style="thin">
        <x:color rgb="FFE3B341"/>
      </x:top>
    </x:border>
    <x:border>
      <x:left style="thin">
        <x:color rgb="FFE3B341"/>
      </x:left>
    </x:border>
    <x:border>
      <x:right style="thin">
        <x:color rgb="FFE3B341"/>
      </x:right>
    </x:border>
    <x:border>
      <x:left style="thin">
        <x:color rgb="FFE3B341"/>
      </x:left>
      <x:bottom style="thin">
        <x:color rgb="FFE3B341"/>
      </x:bottom>
    </x:border>
    <x:border>
      <x:bottom style="thin">
        <x:color rgb="FFE3B341"/>
      </x:bottom>
    </x:border>
    <x:border>
      <x:right style="thin">
        <x:color rgb="FFE3B341"/>
      </x:right>
      <x:bottom style="thin">
        <x:color rgb="FFE3B341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0" fontId="5" fillId="3" borderId="2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3" xfId="0" applyNumberFormat="1" applyFont="1" applyFill="1" applyBorder="1"/>
    <x:xf numFmtId="0" fontId="7" fillId="7" borderId="4" xfId="0" applyNumberFormat="1" applyFont="1" applyFill="1" applyBorder="1"/>
    <x:xf numFmtId="0" fontId="7" fillId="7" borderId="5" xfId="0" applyNumberFormat="1" applyFont="1" applyFill="1" applyBorder="1"/>
    <x:xf numFmtId="0" fontId="7" fillId="7" borderId="6" xfId="0" applyNumberFormat="1" applyFont="1" applyFill="1" applyBorder="1"/>
    <x:xf numFmtId="0" fontId="7" fillId="7" borderId="7" xfId="0" applyNumberFormat="1" applyFont="1" applyFill="1" applyBorder="1"/>
    <x:xf numFmtId="0" fontId="7" fillId="7" borderId="8" xfId="0" applyNumberFormat="1" applyFont="1" applyFill="1" applyBorder="1"/>
    <x:xf numFmtId="0" fontId="7" fillId="7" borderId="9" xfId="0" applyNumberFormat="1" applyFont="1" applyFill="1" applyBorder="1"/>
    <x:xf numFmtId="0" fontId="7" fillId="7" borderId="10" xfId="0" applyNumberFormat="1" applyFont="1" applyFill="1" applyBorder="1"/>
    <x:xf numFmtId="0" fontId="7" fillId="7" borderId="3" xfId="0" applyNumberFormat="1" applyFont="1" applyFill="1" applyBorder="1" applyAlignment="1">
      <x:alignment wrapText="1"/>
    </x:xf>
    <x:xf numFmtId="0" fontId="7" fillId="7" borderId="4" xfId="0" applyNumberFormat="1" applyFont="1" applyFill="1" applyBorder="1" applyAlignment="1">
      <x:alignment wrapText="1"/>
    </x:xf>
    <x:xf numFmtId="0" fontId="7" fillId="7" borderId="5" xfId="0" applyNumberFormat="1" applyFont="1" applyFill="1" applyBorder="1" applyAlignment="1">
      <x:alignment wrapText="1"/>
    </x:xf>
    <x:xf numFmtId="0" fontId="7" fillId="7" borderId="6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7" xfId="0" applyNumberFormat="1" applyFont="1" applyFill="1" applyBorder="1" applyAlignment="1">
      <x:alignment wrapText="1"/>
    </x:xf>
    <x:xf numFmtId="0" fontId="7" fillId="7" borderId="8" xfId="0" applyNumberFormat="1" applyFont="1" applyFill="1" applyBorder="1" applyAlignment="1">
      <x:alignment wrapText="1"/>
    </x:xf>
    <x:xf numFmtId="0" fontId="7" fillId="7" borderId="9" xfId="0" applyNumberFormat="1" applyFont="1" applyFill="1" applyBorder="1" applyAlignment="1">
      <x:alignment wrapText="1"/>
    </x:xf>
    <x:xf numFmtId="0" fontId="7" fillId="7" borderId="10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6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7" xfId="0" applyNumberFormat="1" applyFont="1" applyFill="1" applyBorder="1" applyAlignment="1">
      <x:alignment vertical="center" wrapText="1"/>
    </x:xf>
    <x:xf numFmtId="0" fontId="7" fillId="7" borderId="8" xfId="0" applyNumberFormat="1" applyFont="1" applyFill="1" applyBorder="1" applyAlignment="1">
      <x:alignment vertical="center" wrapText="1"/>
    </x:xf>
    <x:xf numFmtId="0" fontId="7" fillId="7" borderId="9" xfId="0" applyNumberFormat="1" applyFont="1" applyFill="1" applyBorder="1" applyAlignment="1">
      <x:alignment vertical="center" wrapText="1"/>
    </x:xf>
    <x:xf numFmtId="0" fontId="7" fillId="7" borderId="1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201" fontId="8" fillId="0" borderId="0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6B4B00"/>
      </x:font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a3e2610d974c8d" /><Relationship Type="http://schemas.openxmlformats.org/officeDocument/2006/relationships/theme" Target="/xl/theme/theme1.xml" Id="R725685fa8fad449e" /><Relationship Type="http://schemas.openxmlformats.org/officeDocument/2006/relationships/sharedStrings" Target="/xl/sharedStrings.xml" Id="R4987785132b9477d" /><Relationship Type="http://schemas.openxmlformats.org/officeDocument/2006/relationships/worksheet" Target="/xl/worksheets/sheet1.xml" Id="R0043e5dee78d4557" /><Relationship Type="http://schemas.openxmlformats.org/officeDocument/2006/relationships/worksheet" Target="/xl/worksheets/sheet2.xml" Id="Rbc5c27d18c63471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8ee060f405d4c1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/>
              <a:t>Godkendt budget vs. forecast (mio. kr.)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/>
          </a:pPr>
        </a:p>
      </c:txPr>
    </c:title>
    <c:plotArea>
      <c:barChart>
        <c:barDir val="col"/>
        <c:varyColors val="0"/>
        <c:ser>
          <c:idx val="0"/>
          <c:order val="0"/>
          <c:tx>
            <c:v>Godkendt</c:v>
          </c:tx>
          <c:spPr>
            <a:solidFill xmlns:a="http://schemas.openxmlformats.org/drawingml/2006/main">
              <a:srgbClr val="005EA8"/>
            </a:solidFill>
          </c:spPr>
          <c:cat>
            <c:strRef>
              <c:f>'Budget'!$H$22:$H$28</c:f>
              <c:strCache>
                <c:ptCount val="0"/>
              </c:strCache>
            </c:strRef>
          </c:cat>
          <c:val>
            <c:numRef>
              <c:f>'Budget'!$I$22:$I$28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Forecast</c:v>
          </c:tx>
          <c:spPr>
            <a:solidFill xmlns:a="http://schemas.openxmlformats.org/drawingml/2006/main">
              <a:srgbClr val="B26A00"/>
            </a:solidFill>
          </c:spPr>
          <c:cat>
            <c:strRef>
              <c:f>'Budget'!$H$22:$H$28</c:f>
              <c:strCache>
                <c:ptCount val="0"/>
              </c:strCache>
            </c:strRef>
          </c:cat>
          <c:val>
            <c:numRef>
              <c:f>'Budget'!$J$22:$J$28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ee060f405d4c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cafddd00e9b44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 ht="31" customHeight="1">
      <x:c r="A1" s="4" t="str">
        <x:v>PROJEKT AURORA · BUDGETOPFØLGNING</x:v>
      </x:c>
      <x:c r="B1" s="4"/>
      <x:c r="C1" s="4"/>
      <x:c r="D1" s="4"/>
      <x:c r="E1" s="4"/>
      <x:c r="F1" s="4"/>
    </x:row>
    <x:row r="2" ht="31" customHeight="1">
      <x:c r="A2" s="4"/>
      <x:c r="B2" s="4"/>
      <x:c r="C2" s="4"/>
      <x:c r="D2" s="4"/>
      <x:c r="E2" s="4"/>
      <x:c r="F2" s="4"/>
    </x:row>
    <x:row r="3" ht="23" customHeight="1">
      <x:c r="A3" s="7" t="str">
        <x:v>Forecast pr. 14. august 2026 · beløb i mio. kr. · FIKTIVT DEMOMATERIALE</x:v>
      </x:c>
      <x:c r="B3" s="7"/>
      <x:c r="C3" s="7"/>
      <x:c r="D3" s="7"/>
      <x:c r="E3" s="7"/>
      <x:c r="F3" s="7"/>
    </x:row>
    <x:row r="4" ht="23" customHeight="1"/>
    <x:row r="5" ht="23" customHeight="1">
      <x:c r="A5" s="12" t="str">
        <x:v>Arbejdsspor</x:v>
      </x:c>
      <x:c r="B5" s="12" t="str">
        <x:v>Godkendt budget</x:v>
      </x:c>
      <x:c r="C5" s="12" t="str">
        <x:v>Forbrug til dato</x:v>
      </x:c>
      <x:c r="D5" s="12" t="str">
        <x:v>Restforbrug</x:v>
      </x:c>
      <x:c r="E5" s="12" t="str">
        <x:v>Seneste forecast</x:v>
      </x:c>
      <x:c r="F5" s="12" t="str">
        <x:v>Afvigelse</x:v>
      </x:c>
    </x:row>
    <x:row r="6" ht="23" customHeight="1">
      <x:c r="A6" s="15" t="str">
        <x:v>Portal og brugeroplevelse</x:v>
      </x:c>
      <x:c r="B6" s="20" t="n">
        <x:v>2.7</x:v>
      </x:c>
      <x:c r="C6" s="20" t="n">
        <x:v>2.55</x:v>
      </x:c>
      <x:c r="D6" s="20" t="n">
        <x:v>0.3</x:v>
      </x:c>
      <x:c r="E6" s="20" t="n">
        <x:v>2.85</x:v>
      </x:c>
      <x:c r="F6" s="20" t="n">
        <x:f>E6-B6</x:f>
        <x:v>0.1499999999999999</x:v>
      </x:c>
    </x:row>
    <x:row r="7" ht="23" customHeight="1">
      <x:c r="A7" s="16" t="str">
        <x:v>Integrationer</x:v>
      </x:c>
      <x:c r="B7" s="21" t="n">
        <x:v>2.2</x:v>
      </x:c>
      <x:c r="C7" s="21" t="n">
        <x:v>1.9</x:v>
      </x:c>
      <x:c r="D7" s="21" t="n">
        <x:v>0.65</x:v>
      </x:c>
      <x:c r="E7" s="21" t="n">
        <x:v>2.55</x:v>
      </x:c>
      <x:c r="F7" s="21" t="n">
        <x:f>E7-B7</x:f>
        <x:v>0.34999999999999964</x:v>
      </x:c>
    </x:row>
    <x:row r="8" ht="23" customHeight="1">
      <x:c r="A8" s="15" t="str">
        <x:v>Datamigrering</x:v>
      </x:c>
      <x:c r="B8" s="20" t="n">
        <x:v>1.4</x:v>
      </x:c>
      <x:c r="C8" s="20" t="n">
        <x:v>0.78</x:v>
      </x:c>
      <x:c r="D8" s="20" t="n">
        <x:v>0.67</x:v>
      </x:c>
      <x:c r="E8" s="20" t="n">
        <x:v>1.45</x:v>
      </x:c>
      <x:c r="F8" s="20" t="n">
        <x:f>E8-B8</x:f>
        <x:v>0.050000000000000044</x:v>
      </x:c>
    </x:row>
    <x:row r="9" ht="23" customHeight="1">
      <x:c r="A9" s="16" t="str">
        <x:v>Sikkerhed og test</x:v>
      </x:c>
      <x:c r="B9" s="21" t="n">
        <x:v>1</x:v>
      </x:c>
      <x:c r="C9" s="21" t="n">
        <x:v>0.32</x:v>
      </x:c>
      <x:c r="D9" s="21" t="n">
        <x:v>0.78</x:v>
      </x:c>
      <x:c r="E9" s="21" t="n">
        <x:v>1.1</x:v>
      </x:c>
      <x:c r="F9" s="21" t="n">
        <x:f>E9-B9</x:f>
        <x:v>0.10000000000000009</x:v>
      </x:c>
    </x:row>
    <x:row r="10" ht="23" customHeight="1">
      <x:c r="A10" s="15" t="str">
        <x:v>Implementering</x:v>
      </x:c>
      <x:c r="B10" s="20" t="n">
        <x:v>1.9</x:v>
      </x:c>
      <x:c r="C10" s="20" t="n">
        <x:v>0.65</x:v>
      </x:c>
      <x:c r="D10" s="20" t="n">
        <x:v>1.25</x:v>
      </x:c>
      <x:c r="E10" s="20" t="n">
        <x:v>1.9</x:v>
      </x:c>
      <x:c r="F10" s="20" t="n">
        <x:f>E10-B10</x:f>
        <x:v>0</x:v>
      </x:c>
    </x:row>
    <x:row r="11" ht="23" customHeight="1">
      <x:c r="A11" s="16" t="str">
        <x:v>Projektledelse og reserve</x:v>
      </x:c>
      <x:c r="B11" s="21" t="n">
        <x:v>2.8</x:v>
      </x:c>
      <x:c r="C11" s="21" t="n">
        <x:v>1.7</x:v>
      </x:c>
      <x:c r="D11" s="21" t="n">
        <x:v>1.1</x:v>
      </x:c>
      <x:c r="E11" s="21" t="n">
        <x:v>2.8</x:v>
      </x:c>
      <x:c r="F11" s="21" t="n">
        <x:f>E11-B11</x:f>
        <x:v>0</x:v>
      </x:c>
    </x:row>
    <x:row r="12" ht="23" customHeight="1">
      <x:c r="A12" s="19" t="str">
        <x:v>TOTAL</x:v>
      </x:c>
      <x:c r="B12" s="22" t="n">
        <x:f>SUM(B6:B11)</x:f>
        <x:v>12</x:v>
      </x:c>
      <x:c r="C12" s="22" t="n">
        <x:f>SUM(C6:C11)</x:f>
        <x:v>7.9</x:v>
      </x:c>
      <x:c r="D12" s="22" t="n">
        <x:f>SUM(D6:D11)</x:f>
        <x:v>4.75</x:v>
      </x:c>
      <x:c r="E12" s="22" t="n">
        <x:f>SUM(E6:E11)</x:f>
        <x:v>12.650000000000002</x:v>
      </x:c>
      <x:c r="F12" s="22" t="n">
        <x:f>SUM(F6:F11)</x:f>
        <x:v>0.6499999999999997</x:v>
      </x:c>
    </x:row>
    <x:row r="13" ht="23" customHeight="1"/>
    <x:row r="14" ht="23" customHeight="1"/>
    <x:row r="15" ht="23" customHeight="1">
      <x:c r="A15" s="24" t="str">
        <x:v>LEDELSESSIGNAL</x:v>
      </x:c>
      <x:c r="B15" s="24"/>
      <x:c r="C15" s="24"/>
      <x:c r="D15" s="24"/>
      <x:c r="E15" s="24"/>
      <x:c r="F15" s="24"/>
    </x:row>
    <x:row r="16" ht="30" customHeight="1">
      <x:c r="A16" s="44" t="str">
        <x:v>Forecast er 12,65 mio. kr. — 0,65 mio. kr. (5,4 %) over den godkendte ramme. Afvigelsen vurderes håndterbar, men kræver en styregruppebeslutning. Integrationer står for 0,35 mio. kr. af merforbruget.</x:v>
      </x:c>
      <x:c r="B16" s="45"/>
      <x:c r="C16" s="45"/>
      <x:c r="D16" s="45"/>
      <x:c r="E16" s="45"/>
      <x:c r="F16" s="46"/>
    </x:row>
    <x:row r="17" ht="30" customHeight="1">
      <x:c r="A17" s="47"/>
      <x:c r="B17" s="48"/>
      <x:c r="C17" s="48"/>
      <x:c r="D17" s="48"/>
      <x:c r="E17" s="48"/>
      <x:c r="F17" s="49"/>
    </x:row>
    <x:row r="18" ht="30" customHeight="1">
      <x:c r="A18" s="50"/>
      <x:c r="B18" s="51"/>
      <x:c r="C18" s="51"/>
      <x:c r="D18" s="51"/>
      <x:c r="E18" s="51"/>
      <x:c r="F18" s="52"/>
    </x:row>
    <x:row r="21">
      <x:c r="H21" s="53" t="str">
        <x:v>Arbejdsspor</x:v>
      </x:c>
      <x:c r="I21" s="53" t="str">
        <x:v>Godkendt</x:v>
      </x:c>
      <x:c r="J21" s="53" t="str">
        <x:v>Forecast</x:v>
      </x:c>
    </x:row>
    <x:row r="22">
      <x:c r="H22" s="53" t="str">
        <x:v>Portal</x:v>
      </x:c>
      <x:c r="I22" s="54" t="n">
        <x:v>2.7</x:v>
      </x:c>
      <x:c r="J22" s="54" t="n">
        <x:v>2.85</x:v>
      </x:c>
    </x:row>
    <x:row r="23">
      <x:c r="H23" s="53" t="str">
        <x:v>Integration</x:v>
      </x:c>
      <x:c r="I23" s="54" t="n">
        <x:v>2.2</x:v>
      </x:c>
      <x:c r="J23" s="54" t="n">
        <x:v>2.55</x:v>
      </x:c>
    </x:row>
    <x:row r="24">
      <x:c r="H24" s="53" t="str">
        <x:v>Data</x:v>
      </x:c>
      <x:c r="I24" s="54" t="n">
        <x:v>1.4</x:v>
      </x:c>
      <x:c r="J24" s="54" t="n">
        <x:v>1.45</x:v>
      </x:c>
    </x:row>
    <x:row r="25">
      <x:c r="H25" s="53" t="str">
        <x:v>Sikkerhed</x:v>
      </x:c>
      <x:c r="I25" s="54" t="n">
        <x:v>1</x:v>
      </x:c>
      <x:c r="J25" s="54" t="n">
        <x:v>1.1</x:v>
      </x:c>
    </x:row>
    <x:row r="26">
      <x:c r="H26" s="53" t="str">
        <x:v>Implementering</x:v>
      </x:c>
      <x:c r="I26" s="54" t="n">
        <x:v>1.9</x:v>
      </x:c>
      <x:c r="J26" s="54" t="n">
        <x:v>1.9</x:v>
      </x:c>
    </x:row>
    <x:row r="27">
      <x:c r="H27" s="53" t="str">
        <x:v>Ledelse/reserve</x:v>
      </x:c>
      <x:c r="I27" s="54" t="n">
        <x:v>2.8</x:v>
      </x:c>
      <x:c r="J27" s="54" t="n">
        <x:v>2.8</x:v>
      </x:c>
    </x:row>
    <x:row r="28">
      <x:c r="H28" s="53" t="str">
        <x:v>I alt</x:v>
      </x:c>
      <x:c r="I28" s="54" t="n">
        <x:v>12</x:v>
      </x:c>
      <x:c r="J28" s="54" t="n">
        <x:v>12.65</x:v>
      </x:c>
    </x:row>
  </x:sheetData>
  <x:mergeCells>
    <x:mergeCell ref="A1:F2"/>
    <x:mergeCell ref="A3:F3"/>
    <x:mergeCell ref="A15:F15"/>
    <x:mergeCell ref="A16:F18"/>
  </x:mergeCells>
  <x:conditionalFormatting sqref="F6:F12">
    <x:cfRule type="cellIs" dxfId="0" priority="1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4cafddd00e9b442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4" hidden="0" customWidth="1"/>
    <x:col min="3" max="3" width="20" hidden="0" customWidth="1"/>
    <x:col min="4" max="4" width="18" hidden="0" customWidth="1"/>
  </x:cols>
  <x:sheetData>
    <x:row r="1">
      <x:c r="A1" s="56" t="str">
        <x:v>FORUDSÆTNINGER OG FORECASTLOG</x:v>
      </x:c>
      <x:c r="B1" s="56"/>
      <x:c r="C1" s="56"/>
      <x:c r="D1" s="56"/>
    </x:row>
    <x:row r="2">
      <x:c r="A2" s="56"/>
      <x:c r="B2" s="56"/>
      <x:c r="C2" s="56"/>
      <x:c r="D2" s="56"/>
    </x:row>
    <x:row r="3">
      <x:c r="A3" s="6" t="str">
        <x:v>Projekt Aurora · FIKTIVT DEMOMATERIALE</x:v>
      </x:c>
      <x:c r="B3" s="6"/>
      <x:c r="C3" s="6"/>
      <x:c r="D3" s="6"/>
    </x:row>
    <x:row r="5" ht="29" customHeight="1">
      <x:c r="A5" s="11" t="str">
        <x:v>Dato</x:v>
      </x:c>
      <x:c r="B5" s="11" t="str">
        <x:v>Antagelse / ændring</x:v>
      </x:c>
      <x:c r="C5" s="11" t="str">
        <x:v>Økonomisk effekt</x:v>
      </x:c>
      <x:c r="D5" s="11" t="str">
        <x:v>Status</x:v>
      </x:c>
    </x:row>
    <x:row r="6" ht="29" customHeight="1">
      <x:c r="A6" s="59" t="n">
        <x:v>46054</x:v>
      </x:c>
      <x:c r="B6" s="58" t="str">
        <x:v>Baseline godkendt inklusive 0,80 mio. kr. reserve</x:v>
      </x:c>
      <x:c r="C6" s="60" t="n">
        <x:v>0</x:v>
      </x:c>
      <x:c r="D6" s="58" t="str">
        <x:v>Godkendt</x:v>
      </x:c>
    </x:row>
    <x:row r="7" ht="29" customHeight="1">
      <x:c r="A7" s="59" t="n">
        <x:v>46157</x:v>
      </x:c>
      <x:c r="B7" s="58" t="str">
        <x:v>Ekstra integration til Digital Post</x:v>
      </x:c>
      <x:c r="C7" s="60" t="n">
        <x:v>0.25</x:v>
      </x:c>
      <x:c r="D7" s="58" t="str">
        <x:v>Indarbejdet</x:v>
      </x:c>
    </x:row>
    <x:row r="8" ht="29" customHeight="1">
      <x:c r="A8" s="59" t="n">
        <x:v>46203</x:v>
      </x:c>
      <x:c r="B8" s="58" t="str">
        <x:v>Kortvarigt forlænget leverandørbemanding</x:v>
      </x:c>
      <x:c r="C8" s="60" t="n">
        <x:v>0.15</x:v>
      </x:c>
      <x:c r="D8" s="58" t="str">
        <x:v>Indarbejdet</x:v>
      </x:c>
    </x:row>
    <x:row r="9" ht="29" customHeight="1">
      <x:c r="A9" s="59" t="n">
        <x:v>46221</x:v>
      </x:c>
      <x:c r="B9" s="58" t="str">
        <x:v>Supplerende datarensning</x:v>
      </x:c>
      <x:c r="C9" s="60" t="n">
        <x:v>0.05</x:v>
      </x:c>
      <x:c r="D9" s="58" t="str">
        <x:v>Indarbejdet</x:v>
      </x:c>
    </x:row>
    <x:row r="10" ht="29" customHeight="1">
      <x:c r="A10" s="59" t="n">
        <x:v>46235</x:v>
      </x:c>
      <x:c r="B10" s="58" t="str">
        <x:v>Ekstern penetrationstest og retest</x:v>
      </x:c>
      <x:c r="C10" s="60" t="n">
        <x:v>0.1</x:v>
      </x:c>
      <x:c r="D10" s="58" t="str">
        <x:v>Indarbejdet</x:v>
      </x:c>
    </x:row>
    <x:row r="11" ht="29" customHeight="1">
      <x:c r="A11" s="59" t="n">
        <x:v>46248</x:v>
      </x:c>
      <x:c r="B11" s="58" t="str">
        <x:v>Implementeringsstøtte og driftsoverlap</x:v>
      </x:c>
      <x:c r="C11" s="60" t="n">
        <x:v>0.1</x:v>
      </x:c>
      <x:c r="D11" s="58" t="str">
        <x:v>Indarbejdet</x:v>
      </x:c>
    </x:row>
  </x:sheetData>
  <x:mergeCells>
    <x:mergeCell ref="A1:D2"/>
    <x:mergeCell ref="A3:D3"/>
  </x:mergeCells>
  <x:pageMargins left="0.7" right="0.7" top="0.75" bottom="0.75" header="0.3" footer="0.3"/>
</x:worksheet>
</file>